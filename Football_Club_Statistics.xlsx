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enue" sheetId="2" state="visible" r:id="rId4"/>
    <sheet name="Expenses" sheetId="3" state="visible" r:id="rId5"/>
    <sheet name="Matches" sheetId="4" state="visible" r:id="rId6"/>
    <sheet name="What_I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<sst xmlns="http://schemas.openxmlformats.org/spreadsheetml/2006/main" count="157" uniqueCount="134">
  <si>
    <t xml:space="preserve">Football Club - Season Summary</t>
  </si>
  <si>
    <t xml:space="preserve">Every number on this page is calculated from the other 4 tabs. Blue = typed-in input, black = formula, green = taken from another tab.</t>
  </si>
  <si>
    <t xml:space="preserve">Measure</t>
  </si>
  <si>
    <t xml:space="preserve">Value</t>
  </si>
  <si>
    <t xml:space="preserve">What it means</t>
  </si>
  <si>
    <t xml:space="preserve">Inputs</t>
  </si>
  <si>
    <t xml:space="preserve">Season months</t>
  </si>
  <si>
    <t xml:space="preserve">From Team_Info (SQL). Typed-in input.</t>
  </si>
  <si>
    <t xml:space="preserve">League matches</t>
  </si>
  <si>
    <t xml:space="preserve">Counted on the Matches tab.</t>
  </si>
  <si>
    <t xml:space="preserve">Paid people</t>
  </si>
  <si>
    <t xml:space="preserve">People with a salary above zero (SQL view vw_payroll). Typed-in input.</t>
  </si>
  <si>
    <t xml:space="preserve">Key numbers</t>
  </si>
  <si>
    <t xml:space="preserve">Total revenue (EUR)</t>
  </si>
  <si>
    <t xml:space="preserve">All money coming in.</t>
  </si>
  <si>
    <t xml:space="preserve">Total expenses (EUR)</t>
  </si>
  <si>
    <t xml:space="preserve">All money going out.</t>
  </si>
  <si>
    <t xml:space="preserve">Net result (EUR)</t>
  </si>
  <si>
    <t xml:space="preserve">Revenue minus expenses. Positive = surplus, negative = loss.</t>
  </si>
  <si>
    <t xml:space="preserve">Net margin</t>
  </si>
  <si>
    <t xml:space="preserve">Net result as a share of revenue.</t>
  </si>
  <si>
    <t xml:space="preserve">Revenue / expenses ratio</t>
  </si>
  <si>
    <t xml:space="preserve">Above 1.00 means revenue covers expenses.</t>
  </si>
  <si>
    <t xml:space="preserve">Expenses per month (EUR)</t>
  </si>
  <si>
    <t xml:space="preserve">Average monthly spending.</t>
  </si>
  <si>
    <t xml:space="preserve">Expenses per league match (EUR)</t>
  </si>
  <si>
    <t xml:space="preserve">Full season spending divided by number of matches.</t>
  </si>
  <si>
    <t xml:space="preserve">Reserve in months of expenses</t>
  </si>
  <si>
    <t xml:space="preserve">How many months of spending the surplus could pay.</t>
  </si>
  <si>
    <t xml:space="preserve">Share of the 2 largest revenue sources</t>
  </si>
  <si>
    <t xml:space="preserve">Close to 100% = the club depends on very few sources.</t>
  </si>
  <si>
    <t xml:space="preserve">Share of the 3 largest expense categories</t>
  </si>
  <si>
    <t xml:space="preserve">Shows how concentrated the spending is.</t>
  </si>
  <si>
    <t xml:space="preserve">Average home match cost (EUR)</t>
  </si>
  <si>
    <t xml:space="preserve">Match cost of one home match.</t>
  </si>
  <si>
    <t xml:space="preserve">Average away match cost (EUR)</t>
  </si>
  <si>
    <t xml:space="preserve">Match cost of one away match, including travel fuel.</t>
  </si>
  <si>
    <t xml:space="preserve">Expenses per paid person (EUR)</t>
  </si>
  <si>
    <t xml:space="preserve">Total spending divided by people on payroll.</t>
  </si>
  <si>
    <t xml:space="preserve">Main findings (text updates with the numbers)</t>
  </si>
  <si>
    <t xml:space="preserve">Control: do these tabs match the SQL database?</t>
  </si>
  <si>
    <t xml:space="preserve">Check</t>
  </si>
  <si>
    <t xml:space="preserve">This workbook</t>
  </si>
  <si>
    <t xml:space="preserve">SQL value / status</t>
  </si>
  <si>
    <t xml:space="preserve">Total match-day cost (EUR)</t>
  </si>
  <si>
    <t xml:space="preserve">Overall status</t>
  </si>
  <si>
    <t xml:space="preserve">SQL values are typed in (blue) from vw_kpi_summary and vw_match_day_costs.</t>
  </si>
  <si>
    <t xml:space="preserve">Revenue by source</t>
  </si>
  <si>
    <t xml:space="preserve">Question: where does the money come from?  Blue values come from SQL view vw_revenue_by_source.</t>
  </si>
  <si>
    <t xml:space="preserve">Revenue Source</t>
  </si>
  <si>
    <t xml:space="preserve">Amount (EUR)</t>
  </si>
  <si>
    <t xml:space="preserve">Share of Total</t>
  </si>
  <si>
    <t xml:space="preserve">Cumulative Share</t>
  </si>
  <si>
    <t xml:space="preserve">Fundraising Dinners</t>
  </si>
  <si>
    <t xml:space="preserve">Village Funding</t>
  </si>
  <si>
    <t xml:space="preserve">Sponsorships</t>
  </si>
  <si>
    <t xml:space="preserve">Other Revenue</t>
  </si>
  <si>
    <t xml:space="preserve">Ticket Sales</t>
  </si>
  <si>
    <t xml:space="preserve">Total</t>
  </si>
  <si>
    <t xml:space="preserve">Share of the 2 largest sources</t>
  </si>
  <si>
    <t xml:space="preserve">Number of active sources (amount &gt; 0)</t>
  </si>
  <si>
    <t xml:space="preserve">How to read it: sources are sorted from largest to smallest. If 2 sources give almost all revenue, losing one of them is a serious risk.</t>
  </si>
  <si>
    <t xml:space="preserve">Expenses by category</t>
  </si>
  <si>
    <t xml:space="preserve">Question: where does the money go?  Blue values come from SQL view vw_expenses_by_category.</t>
  </si>
  <si>
    <t xml:space="preserve">Expense Category</t>
  </si>
  <si>
    <t xml:space="preserve">Cost (EUR)</t>
  </si>
  <si>
    <t xml:space="preserve">Coaching Staff</t>
  </si>
  <si>
    <t xml:space="preserve">Player Salaries</t>
  </si>
  <si>
    <t xml:space="preserve">Equipment &amp; Medical Supplies</t>
  </si>
  <si>
    <t xml:space="preserve">Electricity</t>
  </si>
  <si>
    <t xml:space="preserve">Accountant</t>
  </si>
  <si>
    <t xml:space="preserve">Water</t>
  </si>
  <si>
    <t xml:space="preserve">Referees</t>
  </si>
  <si>
    <t xml:space="preserve">Travel</t>
  </si>
  <si>
    <t xml:space="preserve">Lawyer</t>
  </si>
  <si>
    <t xml:space="preserve">Match Doctor</t>
  </si>
  <si>
    <t xml:space="preserve">Insurance</t>
  </si>
  <si>
    <t xml:space="preserve">Other Operating Expenses</t>
  </si>
  <si>
    <t xml:space="preserve">Other Stadium Costs</t>
  </si>
  <si>
    <t xml:space="preserve">Phone &amp; Internet</t>
  </si>
  <si>
    <t xml:space="preserve">Registrations &amp; Player Cards</t>
  </si>
  <si>
    <t xml:space="preserve">Transfers</t>
  </si>
  <si>
    <t xml:space="preserve">Website, Social Media, Advertising &amp; Printing</t>
  </si>
  <si>
    <t xml:space="preserve">Share of the 3 largest categories</t>
  </si>
  <si>
    <t xml:space="preserve">Categories needed to reach 80% of spending</t>
  </si>
  <si>
    <t xml:space="preserve">Categories with zero cost</t>
  </si>
  <si>
    <t xml:space="preserve">How to read it: categories are sorted from largest to smallest. A few categories usually explain most of the spending (the 80/20 idea).</t>
  </si>
  <si>
    <t xml:space="preserve">Cost per league match</t>
  </si>
  <si>
    <t xml:space="preserve">Question: what does one match cost, at home and away?  Blue values come from SQL view vw_match_day_costs.</t>
  </si>
  <si>
    <t xml:space="preserve">Match</t>
  </si>
  <si>
    <t xml:space="preserve">Home / Away</t>
  </si>
  <si>
    <t xml:space="preserve">Match Cost (EUR)</t>
  </si>
  <si>
    <t xml:space="preserve">Travel Fuel (EUR)</t>
  </si>
  <si>
    <t xml:space="preserve">Total Cost (EUR)</t>
  </si>
  <si>
    <t xml:space="preserve">H01</t>
  </si>
  <si>
    <t xml:space="preserve">Home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</si>
  <si>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</si>
  <si>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</si>
  <si>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</si>
  <si>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</si>
  <si>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</si>
  <si>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</si>
  <si>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A01</t>
  </si>
  <si>
    <t xml:space="preserve">Away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</si>
  <si>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</si>
  <si>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</si>
  <si>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</si>
  <si>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</si>
  <si>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</si>
  <si>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</si>
  <si>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All</t>
  </si>
  <si>
    <t xml:space="preserve">Number of matches</t>
  </si>
  <si>
    <t xml:space="preserve">Total cost (EUR)</t>
  </si>
  <si>
    <t xml:space="preserve">Average cost per match (EUR)</t>
  </si>
  <si>
    <t xml:space="preserve">Cheapest match (EUR)</t>
  </si>
  <si>
    <t xml:space="preserve">Most expensive match (EUR)</t>
  </si>
  <si>
    <t xml:space="preserve">How to read it: total cost = match cost (referees, doctor, other) + travel fuel. Only away matches have travel fuel.</t>
  </si>
  <si>
    <t xml:space="preserve">What if...?</t>
  </si>
  <si>
    <t xml:space="preserve">Question: how safe is the season if things go worse than planned?  Yellow cells are assumptions you can change.</t>
  </si>
  <si>
    <t xml:space="preserve">Revenue falls by</t>
  </si>
  <si>
    <t xml:space="preserve">Assumption: change the yellow cell</t>
  </si>
  <si>
    <t xml:space="preserve">Expenses rise by</t>
  </si>
  <si>
    <t xml:space="preserve">Scenario</t>
  </si>
  <si>
    <t xml:space="preserve">Revenue (EUR)</t>
  </si>
  <si>
    <t xml:space="preserve">Expenses (EUR)</t>
  </si>
  <si>
    <t xml:space="preserve">Net Result (EUR)</t>
  </si>
  <si>
    <t xml:space="preserve">Net Margin</t>
  </si>
  <si>
    <t xml:space="preserve">Reserve (months of expenses)</t>
  </si>
  <si>
    <t xml:space="preserve">Base case (as planned)</t>
  </si>
  <si>
    <t xml:space="preserve">Lose the largest revenue source</t>
  </si>
  <si>
    <t xml:space="preserve">Revenue falls by the % in B4</t>
  </si>
  <si>
    <t xml:space="preserve">Expenses rise by the % in B5</t>
  </si>
  <si>
    <t xml:space="preserve">Both changes together</t>
  </si>
  <si>
    <t xml:space="preserve">How to read it: a negative Net Result means a loss. Reserve = how many months of expenses the surplus would pay for.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</si>
</sst>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0.0%;\(0.0%\);\-"/>
    <numFmt numFmtId="168" formatCode="0.00"/>
    <numFmt numFmtId="169" formatCode="#,##0.0;\(#,##0.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/>
      <c r="C5" s="5"/>
    </row>
    <row r="6" customFormat="false" ht="15" hidden="false" customHeight="false" outlineLevel="0" collapsed="false">
      <c r="A6" s="6" t="s">
        <v>6</v>
      </c>
      <c r="B6" s="7" t="n">
        <v>10</v>
      </c>
      <c r="C6" s="8" t="s">
        <v>7</v>
      </c>
    </row>
    <row r="7" customFormat="false" ht="15" hidden="false" customHeight="false" outlineLevel="0" collapsed="false">
      <c r="A7" s="6" t="s">
        <v>8</v>
      </c>
      <c r="B7" s="9" t="n">
        <f aca="false">Matches!D22</f>
        <v>14</v>
      </c>
      <c r="C7" s="8" t="s">
        <v>9</v>
      </c>
    </row>
    <row r="8" customFormat="false" ht="15" hidden="false" customHeight="false" outlineLevel="0" collapsed="false">
      <c r="A8" s="6" t="s">
        <v>10</v>
      </c>
      <c r="B8" s="7" t="n">
        <v>5</v>
      </c>
      <c r="C8" s="8" t="s">
        <v>11</v>
      </c>
    </row>
    <row r="9" customFormat="false" ht="15" hidden="false" customHeight="false" outlineLevel="0" collapsed="false">
      <c r="A9" s="4" t="s">
        <v>12</v>
      </c>
      <c r="B9" s="5"/>
      <c r="C9" s="5"/>
    </row>
    <row r="10" customFormat="false" ht="15" hidden="false" customHeight="false" outlineLevel="0" collapsed="false">
      <c r="A10" s="6" t="s">
        <v>13</v>
      </c>
      <c r="B10" s="10" t="n">
        <f aca="false">Revenue!$B$10</f>
        <v>42000</v>
      </c>
      <c r="C10" s="8" t="s">
        <v>14</v>
      </c>
    </row>
    <row r="11" customFormat="false" ht="15" hidden="false" customHeight="false" outlineLevel="0" collapsed="false">
      <c r="A11" s="6" t="s">
        <v>15</v>
      </c>
      <c r="B11" s="10" t="n">
        <f aca="false">Expenses!$B$22</f>
        <v>35833</v>
      </c>
      <c r="C11" s="8" t="s">
        <v>16</v>
      </c>
    </row>
    <row r="12" customFormat="false" ht="15" hidden="false" customHeight="false" outlineLevel="0" collapsed="false">
      <c r="A12" s="6" t="s">
        <v>17</v>
      </c>
      <c r="B12" s="11" t="n">
        <f aca="false">B10-B11</f>
        <v>6167</v>
      </c>
      <c r="C12" s="8" t="s">
        <v>18</v>
      </c>
    </row>
    <row r="13" customFormat="false" ht="15" hidden="false" customHeight="false" outlineLevel="0" collapsed="false">
      <c r="A13" s="6" t="s">
        <v>19</v>
      </c>
      <c r="B13" s="12" t="n">
        <f aca="false">B12/B10</f>
        <v>0.146833333333333</v>
      </c>
      <c r="C13" s="8" t="s">
        <v>20</v>
      </c>
    </row>
    <row r="14" customFormat="false" ht="15" hidden="false" customHeight="false" outlineLevel="0" collapsed="false">
      <c r="A14" s="6" t="s">
        <v>21</v>
      </c>
      <c r="B14" s="13" t="n">
        <f aca="false">B10/B11</f>
        <v>1.17210392654815</v>
      </c>
      <c r="C14" s="8" t="s">
        <v>22</v>
      </c>
    </row>
    <row r="15" customFormat="false" ht="15" hidden="false" customHeight="false" outlineLevel="0" collapsed="false">
      <c r="A15" s="6" t="s">
        <v>23</v>
      </c>
      <c r="B15" s="11" t="n">
        <f aca="false">B11/B6</f>
        <v>3583.3</v>
      </c>
      <c r="C15" s="8" t="s">
        <v>24</v>
      </c>
    </row>
    <row r="16" customFormat="false" ht="15" hidden="false" customHeight="false" outlineLevel="0" collapsed="false">
      <c r="A16" s="6" t="s">
        <v>25</v>
      </c>
      <c r="B16" s="11" t="n">
        <f aca="false">B11/B7</f>
        <v>2559.5</v>
      </c>
      <c r="C16" s="8" t="s">
        <v>26</v>
      </c>
    </row>
    <row r="17" customFormat="false" ht="15" hidden="false" customHeight="false" outlineLevel="0" collapsed="false">
      <c r="A17" s="6" t="s">
        <v>27</v>
      </c>
      <c r="B17" s="13" t="n">
        <f aca="false">B12/B15</f>
        <v>1.72103926548154</v>
      </c>
      <c r="C17" s="8" t="s">
        <v>28</v>
      </c>
    </row>
    <row r="18" customFormat="false" ht="15" hidden="false" customHeight="false" outlineLevel="0" collapsed="false">
      <c r="A18" s="6" t="s">
        <v>29</v>
      </c>
      <c r="B18" s="14" t="n">
        <f aca="false">Revenue!B12</f>
        <v>0.952380952380952</v>
      </c>
      <c r="C18" s="8" t="s">
        <v>30</v>
      </c>
    </row>
    <row r="19" customFormat="false" ht="15" hidden="false" customHeight="false" outlineLevel="0" collapsed="false">
      <c r="A19" s="6" t="s">
        <v>31</v>
      </c>
      <c r="B19" s="14" t="n">
        <f aca="false">Expenses!B24</f>
        <v>0.814193620405771</v>
      </c>
      <c r="C19" s="8" t="s">
        <v>32</v>
      </c>
    </row>
    <row r="20" customFormat="false" ht="15" hidden="false" customHeight="false" outlineLevel="0" collapsed="false">
      <c r="A20" s="6" t="s">
        <v>33</v>
      </c>
      <c r="B20" s="15" t="n">
        <f aca="false">Matches!B24</f>
        <v>140</v>
      </c>
      <c r="C20" s="8" t="s">
        <v>34</v>
      </c>
    </row>
    <row r="21" customFormat="false" ht="15" hidden="false" customHeight="false" outlineLevel="0" collapsed="false">
      <c r="A21" s="6" t="s">
        <v>35</v>
      </c>
      <c r="B21" s="15" t="n">
        <f aca="false">Matches!C24</f>
        <v>96.8571428571429</v>
      </c>
      <c r="C21" s="8" t="s">
        <v>36</v>
      </c>
    </row>
    <row r="22" customFormat="false" ht="15" hidden="false" customHeight="false" outlineLevel="0" collapsed="false">
      <c r="A22" s="6" t="s">
        <v>37</v>
      </c>
      <c r="B22" s="11" t="n">
        <f aca="false">B11/B8</f>
        <v>7166.6</v>
      </c>
      <c r="C22" s="8" t="s">
        <v>38</v>
      </c>
    </row>
    <row r="23" customFormat="false" ht="15" hidden="false" customHeight="false" outlineLevel="0" collapsed="false">
      <c r="A23" s="4" t="s">
        <v>39</v>
      </c>
      <c r="B23" s="5"/>
      <c r="C23" s="5"/>
    </row>
    <row r="24" customFormat="false" ht="15" hidden="false" customHeight="false" outlineLevel="0" collapsed="false">
      <c r="A24" s="16" t="str">
        <f aca="false">"1. The season ends with a "&amp;IF(B12&gt;=0,"surplus","loss")&amp;" of "&amp;TEXT(ABS(B12),"#,##0")&amp;" EUR ("&amp;TEXT(B13,"0.0%")&amp;" of revenue)."</f>
        <v>1. The season ends with a surplus of 6,167 EUR (14.7% of revenue).</v>
      </c>
      <c r="B24" s="16"/>
      <c r="C24" s="16"/>
    </row>
    <row r="25" customFormat="false" ht="15" hidden="false" customHeight="false" outlineLevel="0" collapsed="false">
      <c r="A25" s="16" t="str">
        <f aca="false">"2. The 2 largest revenue sources give "&amp;TEXT(B18,"0.0%")&amp;" of all revenue, so the club depends on very few sources."</f>
        <v>2. The 2 largest revenue sources give 95.2% of all revenue, so the club depends on very few sources.</v>
      </c>
      <c r="B25" s="16"/>
      <c r="C25" s="16"/>
    </row>
    <row r="26" customFormat="false" ht="15" hidden="false" customHeight="false" outlineLevel="0" collapsed="false">
      <c r="A26" s="16" t="str">
        <f aca="false">"3. The 3 largest expense categories make "&amp;TEXT(B19,"0.0%")&amp;" of all spending."</f>
        <v>3. The 3 largest expense categories make 81.4% of all spending.</v>
      </c>
      <c r="B26" s="16"/>
      <c r="C26" s="16"/>
    </row>
    <row r="27" customFormat="false" ht="15" hidden="false" customHeight="false" outlineLevel="0" collapsed="false">
      <c r="A27" s="16" t="str">
        <f aca="false">"4. Revenue can fall by about "&amp;TEXT(MAX(0,B12/B10),"0.0%")&amp;" before the season ends in a loss."</f>
        <v>4. Revenue can fall by about 14.7% before the season ends in a loss.</v>
      </c>
      <c r="B27" s="16"/>
      <c r="C27" s="16"/>
    </row>
    <row r="28" customFormat="false" ht="15" hidden="false" customHeight="false" outlineLevel="0" collapsed="false">
      <c r="A28" s="16" t="str">
        <f aca="false">"5. A home match costs "&amp;TEXT(B20,"#,##0")&amp;" EUR on average and an away match "&amp;TEXT(B21,"#,##0.0")&amp;" EUR."</f>
        <v>5. A home match costs 140 EUR on average and an away match 96.9 EUR.</v>
      </c>
      <c r="B28" s="16"/>
      <c r="C28" s="16"/>
    </row>
    <row r="30" customFormat="false" ht="15" hidden="false" customHeight="false" outlineLevel="0" collapsed="false">
      <c r="A30" s="4" t="s">
        <v>40</v>
      </c>
      <c r="B30" s="5"/>
      <c r="C30" s="5"/>
    </row>
    <row r="31" customFormat="false" ht="15" hidden="false" customHeight="false" outlineLevel="0" collapsed="false">
      <c r="A31" s="3" t="s">
        <v>41</v>
      </c>
      <c r="B31" s="3" t="s">
        <v>42</v>
      </c>
      <c r="C31" s="3" t="s">
        <v>43</v>
      </c>
    </row>
    <row r="32" customFormat="false" ht="15" hidden="false" customHeight="false" outlineLevel="0" collapsed="false">
      <c r="A32" s="6" t="s">
        <v>13</v>
      </c>
      <c r="B32" s="10" t="n">
        <f aca="false">B10</f>
        <v>42000</v>
      </c>
      <c r="C32" s="17" t="n">
        <v>42000</v>
      </c>
    </row>
    <row r="33" customFormat="false" ht="15" hidden="false" customHeight="false" outlineLevel="0" collapsed="false">
      <c r="A33" s="6" t="s">
        <v>15</v>
      </c>
      <c r="B33" s="10" t="n">
        <f aca="false">B11</f>
        <v>35833</v>
      </c>
      <c r="C33" s="17" t="n">
        <v>35833</v>
      </c>
    </row>
    <row r="34" customFormat="false" ht="15" hidden="false" customHeight="false" outlineLevel="0" collapsed="false">
      <c r="A34" s="6" t="s">
        <v>44</v>
      </c>
      <c r="B34" s="10" t="n">
        <f aca="false">Matches!E19</f>
        <v>1658</v>
      </c>
      <c r="C34" s="17" t="n">
        <v>1658</v>
      </c>
    </row>
    <row r="35" customFormat="false" ht="15" hidden="false" customHeight="false" outlineLevel="0" collapsed="false">
      <c r="A35" s="18" t="s">
        <v>45</v>
      </c>
      <c r="B35" s="18" t="str">
        <f aca="false">IF(AND(B32=C32,B33=C33,B34=C34),"ALL OK","CHECK")</f>
        <v>ALL OK</v>
      </c>
      <c r="C35" s="8" t="s">
        <v>46</v>
      </c>
    </row>
  </sheetData>
  <mergeCells count="5"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</row>
    <row r="5" customFormat="false" ht="15" hidden="false" customHeight="false" outlineLevel="0" collapsed="false">
      <c r="A5" s="6" t="s">
        <v>53</v>
      </c>
      <c r="B5" s="17" t="n">
        <v>20000</v>
      </c>
      <c r="C5" s="12" t="n">
        <f aca="false">B5/$B$10</f>
        <v>0.476190476190476</v>
      </c>
      <c r="D5" s="12" t="n">
        <f aca="false">SUM($C$5:C5)</f>
        <v>0.476190476190476</v>
      </c>
    </row>
    <row r="6" customFormat="false" ht="15" hidden="false" customHeight="false" outlineLevel="0" collapsed="false">
      <c r="A6" s="6" t="s">
        <v>54</v>
      </c>
      <c r="B6" s="17" t="n">
        <v>20000</v>
      </c>
      <c r="C6" s="12" t="n">
        <f aca="false">B6/$B$10</f>
        <v>0.476190476190476</v>
      </c>
      <c r="D6" s="12" t="n">
        <f aca="false">SUM($C$5:C6)</f>
        <v>0.952380952380952</v>
      </c>
    </row>
    <row r="7" customFormat="false" ht="15" hidden="false" customHeight="false" outlineLevel="0" collapsed="false">
      <c r="A7" s="6" t="s">
        <v>55</v>
      </c>
      <c r="B7" s="17" t="n">
        <v>2000</v>
      </c>
      <c r="C7" s="12" t="n">
        <f aca="false">B7/$B$10</f>
        <v>0.0476190476190476</v>
      </c>
      <c r="D7" s="12" t="n">
        <f aca="false">SUM($C$5:C7)</f>
        <v>1</v>
      </c>
    </row>
    <row r="8" customFormat="false" ht="15" hidden="false" customHeight="false" outlineLevel="0" collapsed="false">
      <c r="A8" s="6" t="s">
        <v>56</v>
      </c>
      <c r="B8" s="17" t="n">
        <v>0</v>
      </c>
      <c r="C8" s="12" t="n">
        <f aca="false">B8/$B$10</f>
        <v>0</v>
      </c>
      <c r="D8" s="12" t="n">
        <f aca="false">SUM($C$5:C8)</f>
        <v>1</v>
      </c>
    </row>
    <row r="9" customFormat="false" ht="15" hidden="false" customHeight="false" outlineLevel="0" collapsed="false">
      <c r="A9" s="6" t="s">
        <v>57</v>
      </c>
      <c r="B9" s="17" t="n">
        <v>0</v>
      </c>
      <c r="C9" s="12" t="n">
        <f aca="false">B9/$B$10</f>
        <v>0</v>
      </c>
      <c r="D9" s="12" t="n">
        <f aca="false">SUM($C$5:C9)</f>
        <v>1</v>
      </c>
    </row>
    <row r="10" customFormat="false" ht="15" hidden="false" customHeight="false" outlineLevel="0" collapsed="false">
      <c r="A10" s="4" t="s">
        <v>58</v>
      </c>
      <c r="B10" s="19" t="n">
        <f aca="false">SUM(B5:B9)</f>
        <v>42000</v>
      </c>
      <c r="C10" s="20" t="n">
        <f aca="false">SUM(C5:C9)</f>
        <v>1</v>
      </c>
      <c r="D10" s="5"/>
    </row>
    <row r="12" customFormat="false" ht="15" hidden="false" customHeight="false" outlineLevel="0" collapsed="false">
      <c r="A12" s="18" t="s">
        <v>59</v>
      </c>
      <c r="B12" s="12" t="n">
        <f aca="false">D6</f>
        <v>0.952380952380952</v>
      </c>
    </row>
    <row r="13" customFormat="false" ht="15" hidden="false" customHeight="false" outlineLevel="0" collapsed="false">
      <c r="A13" s="18" t="s">
        <v>60</v>
      </c>
      <c r="B13" s="21" t="n">
        <f aca="false">COUNTIF(B5:B9,"&gt;0")</f>
        <v>3</v>
      </c>
    </row>
    <row r="15" customFormat="false" ht="15" hidden="false" customHeight="false" outlineLevel="0" collapsed="false">
      <c r="A15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51</v>
      </c>
      <c r="D4" s="3" t="s">
        <v>52</v>
      </c>
    </row>
    <row r="5" customFormat="false" ht="15" hidden="false" customHeight="false" outlineLevel="0" collapsed="false">
      <c r="A5" s="6" t="s">
        <v>66</v>
      </c>
      <c r="B5" s="17" t="n">
        <v>13000</v>
      </c>
      <c r="C5" s="12" t="n">
        <f aca="false">B5/$B$22</f>
        <v>0.362794072503</v>
      </c>
      <c r="D5" s="12" t="n">
        <f aca="false">SUM($C$5:C5)</f>
        <v>0.362794072503</v>
      </c>
    </row>
    <row r="6" customFormat="false" ht="15" hidden="false" customHeight="false" outlineLevel="0" collapsed="false">
      <c r="A6" s="6" t="s">
        <v>67</v>
      </c>
      <c r="B6" s="17" t="n">
        <v>12000</v>
      </c>
      <c r="C6" s="12" t="n">
        <f aca="false">B6/$B$22</f>
        <v>0.334886836156615</v>
      </c>
      <c r="D6" s="12" t="n">
        <f aca="false">SUM($C$5:C6)</f>
        <v>0.697680908659615</v>
      </c>
    </row>
    <row r="7" customFormat="false" ht="15" hidden="false" customHeight="false" outlineLevel="0" collapsed="false">
      <c r="A7" s="6" t="s">
        <v>68</v>
      </c>
      <c r="B7" s="17" t="n">
        <v>4175</v>
      </c>
      <c r="C7" s="12" t="n">
        <f aca="false">B7/$B$22</f>
        <v>0.116512711746156</v>
      </c>
      <c r="D7" s="12" t="n">
        <f aca="false">SUM($C$5:C7)</f>
        <v>0.814193620405771</v>
      </c>
    </row>
    <row r="8" customFormat="false" ht="15" hidden="false" customHeight="false" outlineLevel="0" collapsed="false">
      <c r="A8" s="6" t="s">
        <v>69</v>
      </c>
      <c r="B8" s="17" t="n">
        <v>2500</v>
      </c>
      <c r="C8" s="12" t="n">
        <f aca="false">B8/$B$22</f>
        <v>0.0697680908659615</v>
      </c>
      <c r="D8" s="12" t="n">
        <f aca="false">SUM($C$5:C8)</f>
        <v>0.883961711271733</v>
      </c>
    </row>
    <row r="9" customFormat="false" ht="15" hidden="false" customHeight="false" outlineLevel="0" collapsed="false">
      <c r="A9" s="6" t="s">
        <v>70</v>
      </c>
      <c r="B9" s="17" t="n">
        <v>1000</v>
      </c>
      <c r="C9" s="12" t="n">
        <f aca="false">B9/$B$22</f>
        <v>0.0279072363463846</v>
      </c>
      <c r="D9" s="12" t="n">
        <f aca="false">SUM($C$5:C9)</f>
        <v>0.911868947618117</v>
      </c>
    </row>
    <row r="10" customFormat="false" ht="15" hidden="false" customHeight="false" outlineLevel="0" collapsed="false">
      <c r="A10" s="6" t="s">
        <v>71</v>
      </c>
      <c r="B10" s="17" t="n">
        <v>1000</v>
      </c>
      <c r="C10" s="12" t="n">
        <f aca="false">B10/$B$22</f>
        <v>0.0279072363463846</v>
      </c>
      <c r="D10" s="12" t="n">
        <f aca="false">SUM($C$5:C10)</f>
        <v>0.939776183964502</v>
      </c>
    </row>
    <row r="11" customFormat="false" ht="15" hidden="false" customHeight="false" outlineLevel="0" collapsed="false">
      <c r="A11" s="6" t="s">
        <v>72</v>
      </c>
      <c r="B11" s="17" t="n">
        <v>840</v>
      </c>
      <c r="C11" s="12" t="n">
        <f aca="false">B11/$B$22</f>
        <v>0.0234420785309631</v>
      </c>
      <c r="D11" s="12" t="n">
        <f aca="false">SUM($C$5:C11)</f>
        <v>0.963218262495465</v>
      </c>
    </row>
    <row r="12" customFormat="false" ht="15" hidden="false" customHeight="false" outlineLevel="0" collapsed="false">
      <c r="A12" s="6" t="s">
        <v>73</v>
      </c>
      <c r="B12" s="17" t="n">
        <v>678</v>
      </c>
      <c r="C12" s="12" t="n">
        <f aca="false">B12/$B$22</f>
        <v>0.0189211062428488</v>
      </c>
      <c r="D12" s="12" t="n">
        <f aca="false">SUM($C$5:C12)</f>
        <v>0.982139368738314</v>
      </c>
    </row>
    <row r="13" customFormat="false" ht="15" hidden="false" customHeight="false" outlineLevel="0" collapsed="false">
      <c r="A13" s="6" t="s">
        <v>74</v>
      </c>
      <c r="B13" s="17" t="n">
        <v>500</v>
      </c>
      <c r="C13" s="12" t="n">
        <f aca="false">B13/$B$22</f>
        <v>0.0139536181731923</v>
      </c>
      <c r="D13" s="12" t="n">
        <f aca="false">SUM($C$5:C13)</f>
        <v>0.996092986911506</v>
      </c>
    </row>
    <row r="14" customFormat="false" ht="15" hidden="false" customHeight="false" outlineLevel="0" collapsed="false">
      <c r="A14" s="6" t="s">
        <v>75</v>
      </c>
      <c r="B14" s="17" t="n">
        <v>140</v>
      </c>
      <c r="C14" s="12" t="n">
        <f aca="false">B14/$B$22</f>
        <v>0.00390701308849385</v>
      </c>
      <c r="D14" s="12" t="n">
        <f aca="false">SUM($C$5:C14)</f>
        <v>1</v>
      </c>
    </row>
    <row r="15" customFormat="false" ht="15" hidden="false" customHeight="false" outlineLevel="0" collapsed="false">
      <c r="A15" s="6" t="s">
        <v>76</v>
      </c>
      <c r="B15" s="17" t="n">
        <v>0</v>
      </c>
      <c r="C15" s="12" t="n">
        <f aca="false">B15/$B$22</f>
        <v>0</v>
      </c>
      <c r="D15" s="12" t="n">
        <f aca="false">SUM($C$5:C15)</f>
        <v>1</v>
      </c>
    </row>
    <row r="16" customFormat="false" ht="15" hidden="false" customHeight="false" outlineLevel="0" collapsed="false">
      <c r="A16" s="6" t="s">
        <v>77</v>
      </c>
      <c r="B16" s="17" t="n">
        <v>0</v>
      </c>
      <c r="C16" s="12" t="n">
        <f aca="false">B16/$B$22</f>
        <v>0</v>
      </c>
      <c r="D16" s="12" t="n">
        <f aca="false">SUM($C$5:C16)</f>
        <v>1</v>
      </c>
    </row>
    <row r="17" customFormat="false" ht="15" hidden="false" customHeight="false" outlineLevel="0" collapsed="false">
      <c r="A17" s="6" t="s">
        <v>78</v>
      </c>
      <c r="B17" s="17" t="n">
        <v>0</v>
      </c>
      <c r="C17" s="12" t="n">
        <f aca="false">B17/$B$22</f>
        <v>0</v>
      </c>
      <c r="D17" s="12" t="n">
        <f aca="false">SUM($C$5:C17)</f>
        <v>1</v>
      </c>
    </row>
    <row r="18" customFormat="false" ht="15" hidden="false" customHeight="false" outlineLevel="0" collapsed="false">
      <c r="A18" s="6" t="s">
        <v>79</v>
      </c>
      <c r="B18" s="17" t="n">
        <v>0</v>
      </c>
      <c r="C18" s="12" t="n">
        <f aca="false">B18/$B$22</f>
        <v>0</v>
      </c>
      <c r="D18" s="12" t="n">
        <f aca="false">SUM($C$5:C18)</f>
        <v>1</v>
      </c>
    </row>
    <row r="19" customFormat="false" ht="15" hidden="false" customHeight="false" outlineLevel="0" collapsed="false">
      <c r="A19" s="6" t="s">
        <v>80</v>
      </c>
      <c r="B19" s="17" t="n">
        <v>0</v>
      </c>
      <c r="C19" s="12" t="n">
        <f aca="false">B19/$B$22</f>
        <v>0</v>
      </c>
      <c r="D19" s="12" t="n">
        <f aca="false">SUM($C$5:C19)</f>
        <v>1</v>
      </c>
    </row>
    <row r="20" customFormat="false" ht="15" hidden="false" customHeight="false" outlineLevel="0" collapsed="false">
      <c r="A20" s="6" t="s">
        <v>81</v>
      </c>
      <c r="B20" s="17" t="n">
        <v>0</v>
      </c>
      <c r="C20" s="12" t="n">
        <f aca="false">B20/$B$22</f>
        <v>0</v>
      </c>
      <c r="D20" s="12" t="n">
        <f aca="false">SUM($C$5:C20)</f>
        <v>1</v>
      </c>
    </row>
    <row r="21" customFormat="false" ht="15" hidden="false" customHeight="false" outlineLevel="0" collapsed="false">
      <c r="A21" s="6" t="s">
        <v>82</v>
      </c>
      <c r="B21" s="17" t="n">
        <v>0</v>
      </c>
      <c r="C21" s="12" t="n">
        <f aca="false">B21/$B$22</f>
        <v>0</v>
      </c>
      <c r="D21" s="12" t="n">
        <f aca="false">SUM($C$5:C21)</f>
        <v>1</v>
      </c>
    </row>
    <row r="22" customFormat="false" ht="15" hidden="false" customHeight="false" outlineLevel="0" collapsed="false">
      <c r="A22" s="4" t="s">
        <v>58</v>
      </c>
      <c r="B22" s="19" t="n">
        <f aca="false">SUM(B5:B21)</f>
        <v>35833</v>
      </c>
      <c r="C22" s="20" t="n">
        <f aca="false">SUM(C5:C21)</f>
        <v>1</v>
      </c>
      <c r="D22" s="5"/>
    </row>
    <row r="24" customFormat="false" ht="15" hidden="false" customHeight="false" outlineLevel="0" collapsed="false">
      <c r="A24" s="18" t="s">
        <v>83</v>
      </c>
      <c r="B24" s="12" t="n">
        <f aca="false">D7</f>
        <v>0.814193620405771</v>
      </c>
    </row>
    <row r="25" customFormat="false" ht="15" hidden="false" customHeight="false" outlineLevel="0" collapsed="false">
      <c r="A25" s="18" t="s">
        <v>84</v>
      </c>
      <c r="B25" s="21" t="n">
        <f aca="false">COUNTIF(D5:D21,"&lt;0.8")+1</f>
        <v>3</v>
      </c>
    </row>
    <row r="26" customFormat="false" ht="15" hidden="false" customHeight="false" outlineLevel="0" collapsed="false">
      <c r="A26" s="18" t="s">
        <v>85</v>
      </c>
      <c r="B26" s="21" t="n">
        <f aca="false">COUNTIF(B5:B21,0)</f>
        <v>7</v>
      </c>
    </row>
    <row r="28" customFormat="false" ht="15" hidden="false" customHeight="false" outlineLevel="0" collapsed="false">
      <c r="A28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</row>
    <row r="5" customFormat="false" ht="15" hidden="false" customHeight="false" outlineLevel="0" collapsed="false">
      <c r="A5" s="6" t="s">
        <v>94</v>
      </c>
      <c r="B5" s="22" t="s">
        <v>95</v>
      </c>
      <c r="C5" s="17" t="n">
        <v>140</v>
      </c>
      <c r="D5" s="17" t="n">
        <v>0</v>
      </c>
      <c r="E5" s="11" t="n">
        <f aca="false">C5+D5</f>
        <v>140</v>
      </c>
    </row>
    <row r="6" customFormat="false" ht="15" hidden="false" customHeight="false" outlineLevel="0" collapsed="false">
      <c r="A6" s="6" t="s">
        <v>96</v>
      </c>
      <c r="B6" s="22" t="s">
        <v>95</v>
      </c>
      <c r="C6" s="17" t="n">
        <v>140</v>
      </c>
      <c r="D6" s="17" t="n">
        <v>0</v>
      </c>
      <c r="E6" s="11" t="n">
        <f aca="false">C6+D6</f>
        <v>140</v>
      </c>
    </row>
    <row r="7" customFormat="false" ht="15" hidden="false" customHeight="false" outlineLevel="0" collapsed="false">
      <c r="A7" s="6" t="s">
        <v>97</v>
      </c>
      <c r="B7" s="22" t="s">
        <v>95</v>
      </c>
      <c r="C7" s="17" t="n">
        <v>140</v>
      </c>
      <c r="D7" s="17" t="n">
        <v>0</v>
      </c>
      <c r="E7" s="11" t="n">
        <f aca="false">C7+D7</f>
        <v>140</v>
      </c>
    </row>
    <row r="8" customFormat="false" ht="15" hidden="false" customHeight="false" outlineLevel="0" collapsed="false">
      <c r="A8" s="6" t="s">
        <v>98</v>
      </c>
      <c r="B8" s="22" t="s">
        <v>95</v>
      </c>
      <c r="C8" s="17" t="n">
        <v>140</v>
      </c>
      <c r="D8" s="17" t="n">
        <v>0</v>
      </c>
      <c r="E8" s="11" t="n">
        <f aca="false">C8+D8</f>
        <v>140</v>
      </c>
    </row>
    <row r="9" customFormat="false" ht="15" hidden="false" customHeight="false" outlineLevel="0" collapsed="false">
      <c r="A9" s="6" t="s">
        <v>99</v>
      </c>
      <c r="B9" s="22" t="s">
        <v>95</v>
      </c>
      <c r="C9" s="17" t="n">
        <v>140</v>
      </c>
      <c r="D9" s="17" t="n">
        <v>0</v>
      </c>
      <c r="E9" s="11" t="n">
        <f aca="false">C9+D9</f>
        <v>140</v>
      </c>
    </row>
    <row r="10" customFormat="false" ht="15" hidden="false" customHeight="false" outlineLevel="0" collapsed="false">
      <c r="A10" s="6" t="s">
        <v>100</v>
      </c>
      <c r="B10" s="22" t="s">
        <v>95</v>
      </c>
      <c r="C10" s="17" t="n">
        <v>140</v>
      </c>
      <c r="D10" s="17" t="n">
        <v>0</v>
      </c>
      <c r="E10" s="11" t="n">
        <f aca="false">C10+D10</f>
        <v>140</v>
      </c>
    </row>
    <row r="11" customFormat="false" ht="15" hidden="false" customHeight="false" outlineLevel="0" collapsed="false">
      <c r="A11" s="6" t="s">
        <v>101</v>
      </c>
      <c r="B11" s="22" t="s">
        <v>95</v>
      </c>
      <c r="C11" s="17" t="n">
        <v>140</v>
      </c>
      <c r="D11" s="17" t="n">
        <v>0</v>
      </c>
      <c r="E11" s="11" t="n">
        <f aca="false">C11+D11</f>
        <v>140</v>
      </c>
    </row>
    <row r="12" customFormat="false" ht="15" hidden="false" customHeight="false" outlineLevel="0" collapsed="false">
      <c r="A12" s="6" t="s">
        <v>102</v>
      </c>
      <c r="B12" s="22" t="s">
        <v>103</v>
      </c>
      <c r="C12" s="17" t="n">
        <v>0</v>
      </c>
      <c r="D12" s="17" t="n">
        <v>12</v>
      </c>
      <c r="E12" s="11" t="n">
        <f aca="false">C12+D12</f>
        <v>12</v>
      </c>
    </row>
    <row r="13" customFormat="false" ht="15" hidden="false" customHeight="false" outlineLevel="0" collapsed="false">
      <c r="A13" s="6" t="s">
        <v>104</v>
      </c>
      <c r="B13" s="22" t="s">
        <v>103</v>
      </c>
      <c r="C13" s="17" t="n">
        <v>0</v>
      </c>
      <c r="D13" s="17" t="n">
        <v>60</v>
      </c>
      <c r="E13" s="11" t="n">
        <f aca="false">C13+D13</f>
        <v>60</v>
      </c>
    </row>
    <row r="14" customFormat="false" ht="15" hidden="false" customHeight="false" outlineLevel="0" collapsed="false">
      <c r="A14" s="6" t="s">
        <v>105</v>
      </c>
      <c r="B14" s="22" t="s">
        <v>103</v>
      </c>
      <c r="C14" s="17" t="n">
        <v>0</v>
      </c>
      <c r="D14" s="17" t="n">
        <v>96</v>
      </c>
      <c r="E14" s="11" t="n">
        <f aca="false">C14+D14</f>
        <v>96</v>
      </c>
    </row>
    <row r="15" customFormat="false" ht="15" hidden="false" customHeight="false" outlineLevel="0" collapsed="false">
      <c r="A15" s="6" t="s">
        <v>106</v>
      </c>
      <c r="B15" s="22" t="s">
        <v>103</v>
      </c>
      <c r="C15" s="17" t="n">
        <v>0</v>
      </c>
      <c r="D15" s="17" t="n">
        <v>108</v>
      </c>
      <c r="E15" s="11" t="n">
        <f aca="false">C15+D15</f>
        <v>108</v>
      </c>
    </row>
    <row r="16" customFormat="false" ht="15" hidden="false" customHeight="false" outlineLevel="0" collapsed="false">
      <c r="A16" s="6" t="s">
        <v>107</v>
      </c>
      <c r="B16" s="22" t="s">
        <v>103</v>
      </c>
      <c r="C16" s="17" t="n">
        <v>0</v>
      </c>
      <c r="D16" s="17" t="n">
        <v>114</v>
      </c>
      <c r="E16" s="11" t="n">
        <f aca="false">C16+D16</f>
        <v>114</v>
      </c>
    </row>
    <row r="17" customFormat="false" ht="15" hidden="false" customHeight="false" outlineLevel="0" collapsed="false">
      <c r="A17" s="6" t="s">
        <v>108</v>
      </c>
      <c r="B17" s="22" t="s">
        <v>103</v>
      </c>
      <c r="C17" s="17" t="n">
        <v>0</v>
      </c>
      <c r="D17" s="17" t="n">
        <v>132</v>
      </c>
      <c r="E17" s="11" t="n">
        <f aca="false">C17+D17</f>
        <v>132</v>
      </c>
    </row>
    <row r="18" customFormat="false" ht="15" hidden="false" customHeight="false" outlineLevel="0" collapsed="false">
      <c r="A18" s="6" t="s">
        <v>109</v>
      </c>
      <c r="B18" s="22" t="s">
        <v>103</v>
      </c>
      <c r="C18" s="17" t="n">
        <v>0</v>
      </c>
      <c r="D18" s="17" t="n">
        <v>156</v>
      </c>
      <c r="E18" s="11" t="n">
        <f aca="false">C18+D18</f>
        <v>156</v>
      </c>
    </row>
    <row r="19" customFormat="false" ht="15" hidden="false" customHeight="false" outlineLevel="0" collapsed="false">
      <c r="A19" s="4" t="s">
        <v>58</v>
      </c>
      <c r="B19" s="5"/>
      <c r="C19" s="19" t="n">
        <f aca="false">SUM(C5:C18)</f>
        <v>980</v>
      </c>
      <c r="D19" s="19" t="n">
        <f aca="false">SUM(D5:D18)</f>
        <v>678</v>
      </c>
      <c r="E19" s="19" t="n">
        <f aca="false">SUM(E5:E18)</f>
        <v>1658</v>
      </c>
    </row>
    <row r="21" customFormat="false" ht="15" hidden="false" customHeight="false" outlineLevel="0" collapsed="false">
      <c r="A21" s="3" t="s">
        <v>2</v>
      </c>
      <c r="B21" s="3" t="s">
        <v>95</v>
      </c>
      <c r="C21" s="3" t="s">
        <v>103</v>
      </c>
      <c r="D21" s="3" t="s">
        <v>110</v>
      </c>
    </row>
    <row r="22" customFormat="false" ht="15" hidden="false" customHeight="false" outlineLevel="0" collapsed="false">
      <c r="A22" s="18" t="s">
        <v>111</v>
      </c>
      <c r="B22" s="21" t="n">
        <f aca="false">COUNTIF($B$5:$B$18,"Home")</f>
        <v>7</v>
      </c>
      <c r="C22" s="21" t="n">
        <f aca="false">COUNTIF($B$5:$B$18,"Away")</f>
        <v>7</v>
      </c>
      <c r="D22" s="21" t="n">
        <f aca="false">B22+C22</f>
        <v>14</v>
      </c>
    </row>
    <row r="23" customFormat="false" ht="15" hidden="false" customHeight="false" outlineLevel="0" collapsed="false">
      <c r="A23" s="18" t="s">
        <v>112</v>
      </c>
      <c r="B23" s="11" t="n">
        <f aca="false">SUMIFS($E$5:$E$18,$B$5:$B$18,"Home")</f>
        <v>980</v>
      </c>
      <c r="C23" s="11" t="n">
        <f aca="false">SUMIFS($E$5:$E$18,$B$5:$B$18,"Away")</f>
        <v>678</v>
      </c>
      <c r="D23" s="11" t="n">
        <f aca="false">B23+C23</f>
        <v>1658</v>
      </c>
    </row>
    <row r="24" customFormat="false" ht="15" hidden="false" customHeight="false" outlineLevel="0" collapsed="false">
      <c r="A24" s="18" t="s">
        <v>113</v>
      </c>
      <c r="B24" s="23" t="n">
        <f aca="false">B23/B22</f>
        <v>140</v>
      </c>
      <c r="C24" s="23" t="n">
        <f aca="false">C23/C22</f>
        <v>96.8571428571429</v>
      </c>
      <c r="D24" s="23" t="n">
        <f aca="false">D23/D22</f>
        <v>118.428571428571</v>
      </c>
    </row>
    <row r="25" customFormat="false" ht="15" hidden="false" customHeight="false" outlineLevel="0" collapsed="false">
      <c r="A25" s="18" t="s">
        <v>114</v>
      </c>
      <c r="B25" s="11" t="n">
        <f aca="false">_xlfn.MINIFS($E$5:$E$18,$B$5:$B$18,"Home")</f>
        <v>140</v>
      </c>
      <c r="C25" s="11" t="n">
        <f aca="false">_xlfn.MINIFS($E$5:$E$18,$B$5:$B$18,"Away")</f>
        <v>12</v>
      </c>
      <c r="D25" s="11" t="n">
        <f aca="false">MIN(B25:C25)</f>
        <v>12</v>
      </c>
    </row>
    <row r="26" customFormat="false" ht="15" hidden="false" customHeight="false" outlineLevel="0" collapsed="false">
      <c r="A26" s="18" t="s">
        <v>115</v>
      </c>
      <c r="B26" s="11" t="n">
        <f aca="false">_xlfn.MAXIFS($E$5:$E$18,$B$5:$B$18,"Home")</f>
        <v>140</v>
      </c>
      <c r="C26" s="11" t="n">
        <f aca="false">_xlfn.MAXIFS($E$5:$E$18,$B$5:$B$18,"Away")</f>
        <v>156</v>
      </c>
      <c r="D26" s="11" t="n">
        <f aca="false">MAX(B26:C26)</f>
        <v>156</v>
      </c>
    </row>
    <row r="28" customFormat="false" ht="15" hidden="false" customHeight="false" outlineLevel="0" collapsed="false">
      <c r="A28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18" t="s">
        <v>119</v>
      </c>
      <c r="B4" s="24" t="n">
        <v>-0.1</v>
      </c>
      <c r="C4" s="8" t="s">
        <v>120</v>
      </c>
    </row>
    <row r="5" customFormat="false" ht="15" hidden="false" customHeight="false" outlineLevel="0" collapsed="false">
      <c r="A5" s="18" t="s">
        <v>121</v>
      </c>
      <c r="B5" s="24" t="n">
        <v>0.1</v>
      </c>
      <c r="C5" s="8" t="s">
        <v>120</v>
      </c>
    </row>
    <row r="6" customFormat="false" ht="15" hidden="false" customHeight="false" outlineLevel="0" collapsed="false">
      <c r="A6" s="18" t="s">
        <v>6</v>
      </c>
      <c r="B6" s="9" t="n">
        <f aca="false">Summary!B6</f>
        <v>10</v>
      </c>
    </row>
    <row r="8" customFormat="false" ht="23.85" hidden="false" customHeight="false" outlineLevel="0" collapsed="false">
      <c r="A8" s="3" t="s">
        <v>122</v>
      </c>
      <c r="B8" s="3" t="s">
        <v>123</v>
      </c>
      <c r="C8" s="3" t="s">
        <v>124</v>
      </c>
      <c r="D8" s="3" t="s">
        <v>125</v>
      </c>
      <c r="E8" s="3" t="s">
        <v>126</v>
      </c>
      <c r="F8" s="3" t="s">
        <v>127</v>
      </c>
    </row>
    <row r="9" customFormat="false" ht="15" hidden="false" customHeight="false" outlineLevel="0" collapsed="false">
      <c r="A9" s="18" t="s">
        <v>128</v>
      </c>
      <c r="B9" s="10" t="n">
        <f aca="false">Revenue!$B$10</f>
        <v>42000</v>
      </c>
      <c r="C9" s="10" t="n">
        <f aca="false">Expenses!$B$22</f>
        <v>35833</v>
      </c>
      <c r="D9" s="11" t="n">
        <f aca="false">B9-C9</f>
        <v>6167</v>
      </c>
      <c r="E9" s="12" t="n">
        <f aca="false">IF(B9=0,0,D9/B9)</f>
        <v>0.146833333333333</v>
      </c>
      <c r="F9" s="13" t="n">
        <f aca="false">IF(C9=0,0,D9/(C9/$B$6))</f>
        <v>1.72103926548154</v>
      </c>
    </row>
    <row r="10" customFormat="false" ht="15" hidden="false" customHeight="false" outlineLevel="0" collapsed="false">
      <c r="A10" s="18" t="s">
        <v>129</v>
      </c>
      <c r="B10" s="10" t="n">
        <f aca="false">Revenue!$B$10-MAX(Revenue!$B$5:$B$9)</f>
        <v>22000</v>
      </c>
      <c r="C10" s="10" t="n">
        <f aca="false">Expenses!$B$22</f>
        <v>35833</v>
      </c>
      <c r="D10" s="11" t="n">
        <f aca="false">B10-C10</f>
        <v>-13833</v>
      </c>
      <c r="E10" s="12" t="n">
        <f aca="false">IF(B10=0,0,D10/B10)</f>
        <v>-0.628772727272727</v>
      </c>
      <c r="F10" s="13" t="n">
        <f aca="false">IF(C10=0,0,D10/(C10/$B$6))</f>
        <v>-3.86040800379538</v>
      </c>
    </row>
    <row r="11" customFormat="false" ht="15" hidden="false" customHeight="false" outlineLevel="0" collapsed="false">
      <c r="A11" s="18" t="s">
        <v>130</v>
      </c>
      <c r="B11" s="10" t="n">
        <f aca="false">Revenue!$B$10*(1+$B$4)</f>
        <v>37800</v>
      </c>
      <c r="C11" s="10" t="n">
        <f aca="false">Expenses!$B$22</f>
        <v>35833</v>
      </c>
      <c r="D11" s="11" t="n">
        <f aca="false">B11-C11</f>
        <v>1967</v>
      </c>
      <c r="E11" s="12" t="n">
        <f aca="false">IF(B11=0,0,D11/B11)</f>
        <v>0.052037037037037</v>
      </c>
      <c r="F11" s="13" t="n">
        <f aca="false">IF(C11=0,0,D11/(C11/$B$6))</f>
        <v>0.548935338933385</v>
      </c>
    </row>
    <row r="12" customFormat="false" ht="15" hidden="false" customHeight="false" outlineLevel="0" collapsed="false">
      <c r="A12" s="18" t="s">
        <v>131</v>
      </c>
      <c r="B12" s="10" t="n">
        <f aca="false">Revenue!$B$10</f>
        <v>42000</v>
      </c>
      <c r="C12" s="10" t="n">
        <f aca="false">Expenses!$B$22*(1+$B$5)</f>
        <v>39416.3</v>
      </c>
      <c r="D12" s="11" t="n">
        <f aca="false">B12-C12</f>
        <v>2583.7</v>
      </c>
      <c r="E12" s="12" t="n">
        <f aca="false">IF(B12=0,0,D12/B12)</f>
        <v>0.0615166666666666</v>
      </c>
      <c r="F12" s="13" t="n">
        <f aca="false">IF(C12=0,0,D12/(C12/$B$6))</f>
        <v>0.655490241346853</v>
      </c>
    </row>
    <row r="13" customFormat="false" ht="15" hidden="false" customHeight="false" outlineLevel="0" collapsed="false">
      <c r="A13" s="18" t="s">
        <v>132</v>
      </c>
      <c r="B13" s="10" t="n">
        <f aca="false">Revenue!$B$10*(1+$B$4)</f>
        <v>37800</v>
      </c>
      <c r="C13" s="10" t="n">
        <f aca="false">Expenses!$B$22*(1+$B$5)</f>
        <v>39416.3</v>
      </c>
      <c r="D13" s="11" t="n">
        <f aca="false">B13-C13</f>
        <v>-1616.3</v>
      </c>
      <c r="E13" s="12" t="n">
        <f aca="false">IF(B13=0,0,D13/B13)</f>
        <v>-0.0427592592592593</v>
      </c>
      <c r="F13" s="13" t="n">
        <f aca="false">IF(C13=0,0,D13/(C13/$B$6))</f>
        <v>-0.410058782787832</v>
      </c>
    </row>
    <row r="15" customFormat="false" ht="15" hidden="false" customHeight="false" outlineLevel="0" collapsed="false">
      <c r="A15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2026-10-01T13:16:26Z</dcterms:created>
  <dc:creator>openpyxl</dc:creator>
  <dc:description/>
  <dc:language>en-US</dc:language>
  <cp:lastModifiedBy/>
  <dcterms:modified xsi:type="dcterms:W3CDTF">2026-10-01T13:16:26Z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